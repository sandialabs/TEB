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dlvilla\TEMP\TEB\tests\ExcelLoadData\"/>
    </mc:Choice>
  </mc:AlternateContent>
  <xr:revisionPtr revIDLastSave="0" documentId="13_ncr:1_{068131AD-A525-4EA6-A939-D1919FFD76C2}" xr6:coauthVersionLast="47" xr6:coauthVersionMax="47" xr10:uidLastSave="{00000000-0000-0000-0000-000000000000}"/>
  <bookViews>
    <workbookView xWindow="50880" yWindow="7830" windowWidth="16845" windowHeight="11385" firstSheet="10" activeTab="10" xr2:uid="{1F2B6D78-A821-4296-99B9-3A0B6B938907}"/>
  </bookViews>
  <sheets>
    <sheet name="StaticElectricLoads" sheetId="1" r:id="rId1"/>
    <sheet name="Schedules" sheetId="2" r:id="rId2"/>
    <sheet name="Lighting" sheetId="16" r:id="rId3"/>
    <sheet name="Fan" sheetId="11" r:id="rId4"/>
    <sheet name="FanCurves" sheetId="13" r:id="rId5"/>
    <sheet name="FanTemperatures" sheetId="18" r:id="rId6"/>
    <sheet name="Refrigerator" sheetId="4" r:id="rId7"/>
    <sheet name="AC" sheetId="3" r:id="rId8"/>
    <sheet name="ACcoef" sheetId="7" r:id="rId9"/>
    <sheet name="ACThermostat" sheetId="8" r:id="rId10"/>
    <sheet name="Buildings" sheetId="10" r:id="rId11"/>
    <sheet name="BuildingsTiers" sheetId="21" r:id="rId12"/>
    <sheet name="RepeatBuildingConfigs" sheetId="22" r:id="rId13"/>
    <sheet name="BuildingFans" sheetId="14" r:id="rId14"/>
    <sheet name="BuildingRefrigerators" sheetId="12" r:id="rId15"/>
    <sheet name="BuildingWallAC" sheetId="15" r:id="rId16"/>
    <sheet name="BuildingLighting" sheetId="19"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B4" i="3"/>
  <c r="C3" i="3"/>
  <c r="B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E1" authorId="0" shapeId="0" xr:uid="{9B3AA926-8A44-41EE-9E3A-9BF471BB548F}">
      <text>
        <r>
          <rPr>
            <b/>
            <sz val="9"/>
            <color indexed="81"/>
            <rFont val="Tahoma"/>
            <family val="2"/>
          </rPr>
          <t>Villa, Daniel L:</t>
        </r>
        <r>
          <rPr>
            <sz val="9"/>
            <color indexed="81"/>
            <rFont val="Tahoma"/>
            <family val="2"/>
          </rPr>
          <t xml:space="preserve">
These watts are heat added to the building. A factor is used to multiply to electricity energy consumed.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B3" authorId="0" shapeId="0" xr:uid="{19391510-0E17-4488-A062-9613C19DD4F4}">
      <text>
        <r>
          <rPr>
            <b/>
            <sz val="9"/>
            <color indexed="81"/>
            <rFont val="Tahoma"/>
            <family val="2"/>
          </rPr>
          <t>Villa, Daniel L:</t>
        </r>
        <r>
          <rPr>
            <sz val="9"/>
            <color indexed="81"/>
            <rFont val="Tahoma"/>
            <family val="2"/>
          </rPr>
          <t xml:space="preserve">
Only one threshold is really used by the code right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D1" authorId="0" shapeId="0" xr:uid="{F404FCA8-25E3-4B0A-BACE-F44AC5C7EF5F}">
      <text>
        <r>
          <rPr>
            <b/>
            <sz val="9"/>
            <color indexed="81"/>
            <rFont val="Tahoma"/>
            <family val="2"/>
          </rPr>
          <t>Villa, Daniel L:</t>
        </r>
        <r>
          <rPr>
            <sz val="9"/>
            <color indexed="81"/>
            <rFont val="Tahoma"/>
            <family val="2"/>
          </rPr>
          <t xml:space="preserve">
This is from Meisner et. al., 2014. Actual performance data is needed to quantify this. In general, the units do not meet their nameplate capacities under the harsh conditions in Puerto Rico</t>
        </r>
      </text>
    </comment>
    <comment ref="A4" authorId="0" shapeId="0" xr:uid="{CB2D07B3-AB10-4BA6-910C-61C7781109EF}">
      <text>
        <r>
          <rPr>
            <b/>
            <sz val="9"/>
            <color indexed="81"/>
            <rFont val="Tahoma"/>
            <family val="2"/>
          </rPr>
          <t>Villa, Daniel L:</t>
        </r>
        <r>
          <rPr>
            <sz val="9"/>
            <color indexed="81"/>
            <rFont val="Tahoma"/>
            <family val="2"/>
          </rPr>
          <t xml:space="preserve">
This is from Meisner et. al., 2014. Actual performance data is needed to quantify this. In general, the units do not meet their nameplate capacities under the harsh conditions in Puerto Rico</t>
        </r>
      </text>
    </comment>
    <comment ref="D20" authorId="0" shapeId="0" xr:uid="{5BDD0D5D-989E-4650-87B7-2CF9806C4853}">
      <text>
        <r>
          <rPr>
            <b/>
            <sz val="9"/>
            <color indexed="81"/>
            <rFont val="Tahoma"/>
            <family val="2"/>
          </rPr>
          <t>Villa, Daniel L:</t>
        </r>
        <r>
          <rPr>
            <sz val="9"/>
            <color indexed="81"/>
            <rFont val="Tahoma"/>
            <family val="2"/>
          </rPr>
          <t xml:space="preserve">
This is from Meisner et. al., 2014. Actual performance data is needed to quantify this. In general, the units do not meet their nameplate capacities under the harsh conditions in Puerto Rico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C2" authorId="0" shapeId="0" xr:uid="{5F4B0456-8979-489A-8D67-F8B4C9DCB8AC}">
      <text>
        <r>
          <rPr>
            <b/>
            <sz val="9"/>
            <color indexed="81"/>
            <rFont val="Tahoma"/>
            <family val="2"/>
          </rPr>
          <t>Villa, Daniel L:</t>
        </r>
        <r>
          <rPr>
            <sz val="9"/>
            <color indexed="81"/>
            <rFont val="Tahoma"/>
            <family val="2"/>
          </rPr>
          <t xml:space="preserve">
Window unit #05 from Meissner et. al., 2014. Nominal TC is 3.5kW and Power input is 1.6kW with a reciprocating compresssor and Air volume flow rate of 480 m3/h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Villa, Daniel L</author>
  </authors>
  <commentList>
    <comment ref="A2" authorId="0" shapeId="0" xr:uid="{9B7B8AA2-E542-45BD-BFA2-0C710BE61DFB}">
      <text>
        <r>
          <rPr>
            <b/>
            <sz val="9"/>
            <color indexed="81"/>
            <rFont val="Tahoma"/>
            <family val="2"/>
          </rPr>
          <t>Villa, Daniel L:</t>
        </r>
        <r>
          <rPr>
            <sz val="9"/>
            <color indexed="81"/>
            <rFont val="Tahoma"/>
            <family val="2"/>
          </rPr>
          <t xml:space="preserve">
Even though the entries allow different thermo-stats. Right now only one temperature for heating and one for cooling are allowed. The first read determineds these values!</t>
        </r>
      </text>
    </comment>
  </commentList>
</comments>
</file>

<file path=xl/sharedStrings.xml><?xml version="1.0" encoding="utf-8"?>
<sst xmlns="http://schemas.openxmlformats.org/spreadsheetml/2006/main" count="264" uniqueCount="117">
  <si>
    <t>Tier 1</t>
  </si>
  <si>
    <t>Tier 2</t>
  </si>
  <si>
    <t>Tier 3</t>
  </si>
  <si>
    <t>Load Name</t>
  </si>
  <si>
    <t>FanLoads</t>
  </si>
  <si>
    <t>Hour</t>
  </si>
  <si>
    <t>Interior Lighting</t>
  </si>
  <si>
    <t>Exterior Lighting</t>
  </si>
  <si>
    <r>
      <t>Cooling (</t>
    </r>
    <r>
      <rPr>
        <sz val="11"/>
        <color theme="1"/>
        <rFont val="Calibri"/>
        <family val="2"/>
      </rPr>
      <t>⁰C)</t>
    </r>
  </si>
  <si>
    <t>Heating (⁰C)</t>
  </si>
  <si>
    <t>a0</t>
  </si>
  <si>
    <t>a1</t>
  </si>
  <si>
    <t>a2</t>
  </si>
  <si>
    <t>a3</t>
  </si>
  <si>
    <t>a4</t>
  </si>
  <si>
    <t>a5</t>
  </si>
  <si>
    <t>Power input (W)</t>
  </si>
  <si>
    <t>Air flow rate (m3/h)</t>
  </si>
  <si>
    <t>Fraction of Reverse Carnot Efficiency</t>
  </si>
  <si>
    <t>Fridge surface area m2</t>
  </si>
  <si>
    <t>Fridge universal (convection and conduction) resistance (m2*K/W)</t>
  </si>
  <si>
    <t>Name of air mixing rate from door opening</t>
  </si>
  <si>
    <t>FridgeDoor</t>
  </si>
  <si>
    <t>Average Fan Power (W)</t>
  </si>
  <si>
    <t>Constant average temperature of fridge compartment (K) Tf</t>
  </si>
  <si>
    <t>PhoneCharging</t>
  </si>
  <si>
    <t>LaptopCharging</t>
  </si>
  <si>
    <t>Description</t>
  </si>
  <si>
    <t>Mini Fridge</t>
  </si>
  <si>
    <t>Full size Fridge</t>
  </si>
  <si>
    <t>ClothsDryer</t>
  </si>
  <si>
    <t>Misc</t>
  </si>
  <si>
    <t>Type</t>
  </si>
  <si>
    <t>HomeMobility</t>
  </si>
  <si>
    <t>HomeMedical</t>
  </si>
  <si>
    <t>Compressor efficiency</t>
  </si>
  <si>
    <t>Name Plate Total Cooling (TC) (W)</t>
  </si>
  <si>
    <t>Sensible Cooling Fraction</t>
  </si>
  <si>
    <t>Name Plate Derate Fraction</t>
  </si>
  <si>
    <t>MiniSplitUnitAC1_MeissnerEtAl</t>
  </si>
  <si>
    <t>WindowUnitAC1_MeissnerEtAl</t>
  </si>
  <si>
    <t>AC Unit</t>
  </si>
  <si>
    <t>EER</t>
  </si>
  <si>
    <t>TC</t>
  </si>
  <si>
    <t>SC</t>
  </si>
  <si>
    <t>Curve Type</t>
  </si>
  <si>
    <t>Number of Floors</t>
  </si>
  <si>
    <t>Person per Floor</t>
  </si>
  <si>
    <t>Building Aspect Ratio</t>
  </si>
  <si>
    <t>Fraction Internal Walls</t>
  </si>
  <si>
    <t>Window/Wall Ratio North</t>
  </si>
  <si>
    <t>Window/Wall Ratio East</t>
  </si>
  <si>
    <t>Window/Wall Ratio South</t>
  </si>
  <si>
    <t>Window/Wall Ratio West</t>
  </si>
  <si>
    <t>Fraction Air in CMS units</t>
  </si>
  <si>
    <t>Windows Average U Factor</t>
  </si>
  <si>
    <t>Infiltration Air Changes Per Hour</t>
  </si>
  <si>
    <t>Weather File</t>
  </si>
  <si>
    <t>Building</t>
  </si>
  <si>
    <t>Building Name</t>
  </si>
  <si>
    <t>Building Latitude</t>
  </si>
  <si>
    <t>Building Longitude</t>
  </si>
  <si>
    <t>Schedule</t>
  </si>
  <si>
    <t>Building 1</t>
  </si>
  <si>
    <t>Building 2</t>
  </si>
  <si>
    <t>Building 3</t>
  </si>
  <si>
    <t>Fan Name</t>
  </si>
  <si>
    <t>External Air Changes</t>
  </si>
  <si>
    <t>Fan 1</t>
  </si>
  <si>
    <t>Fan 2</t>
  </si>
  <si>
    <t>Plug in fan</t>
  </si>
  <si>
    <t>Ceiling fan</t>
  </si>
  <si>
    <t>Power Consumption (W)</t>
  </si>
  <si>
    <t>Efficiency Curve</t>
  </si>
  <si>
    <t>Curve 1</t>
  </si>
  <si>
    <t>Curve 2</t>
  </si>
  <si>
    <t>Speed</t>
  </si>
  <si>
    <t>Interior</t>
  </si>
  <si>
    <t>Exterior</t>
  </si>
  <si>
    <t>Power (W)</t>
  </si>
  <si>
    <t>Occupant Schedule</t>
  </si>
  <si>
    <t>Simulation Year</t>
  </si>
  <si>
    <t>Start Hour of Year</t>
  </si>
  <si>
    <t>Glass Solar Transmittance</t>
  </si>
  <si>
    <t>Glass Light Transmittance</t>
  </si>
  <si>
    <t>Heat Gain per Person (W)</t>
  </si>
  <si>
    <t>Residential Typical Occupancy</t>
  </si>
  <si>
    <t>Tier</t>
  </si>
  <si>
    <t>Lighting control lux threshold (lux)</t>
  </si>
  <si>
    <t>./WeatherFiles/PRI_San.Juan-Luis.Munoz.Marin.Intl.AP.785263_TMY3.epw</t>
  </si>
  <si>
    <t>Heat Energy Ratio</t>
  </si>
  <si>
    <t>Fraction Heat</t>
  </si>
  <si>
    <t>Temperature difference between ambient and condenser and fridge and evaporator</t>
  </si>
  <si>
    <t>Resistance to Ground (m2*K/W)</t>
  </si>
  <si>
    <t>Elevation (m)</t>
  </si>
  <si>
    <t>Ground temperature to elevation sensitivity (K/m)</t>
  </si>
  <si>
    <t>Fridge aspect ratio</t>
  </si>
  <si>
    <t>Compressor Power Rating (W)</t>
  </si>
  <si>
    <t>Peak average air mixing rate from door opening (ACH)</t>
  </si>
  <si>
    <t>Non-critical</t>
  </si>
  <si>
    <t>New Name</t>
  </si>
  <si>
    <t>Floor Area (m2)</t>
  </si>
  <si>
    <t>Floor Height (m)</t>
  </si>
  <si>
    <t>External Wall/Roof Average Thickness (m)</t>
  </si>
  <si>
    <t>Concrete Density (kg/m3)</t>
  </si>
  <si>
    <t>Additional Insulation RSI Value (m2*K/W)</t>
  </si>
  <si>
    <t>Additional Non-wall Heat Capacity (J/(m2*K))</t>
  </si>
  <si>
    <t>Calibrate to Monthly (False=Calibrate to 8760)</t>
  </si>
  <si>
    <t>Include Central A/C</t>
  </si>
  <si>
    <t>Concrete Aggregate Volume Fraction (for &gt; 1920 kg/m3)</t>
  </si>
  <si>
    <t>Concrete Aggregate Phase Thermal Conductivity (for &gt; 1920 kg/m3)</t>
  </si>
  <si>
    <t>Concrete Paste Thermal Conductivity (for &gt; 1920 kg/m3)</t>
  </si>
  <si>
    <t>Central A/C average COP (only used if Include Central A/C = True)</t>
  </si>
  <si>
    <t>Fraction Heat Added</t>
  </si>
  <si>
    <t>Multiplier</t>
  </si>
  <si>
    <t>Energy (kWh/day or kWh/day/m2)</t>
  </si>
  <si>
    <t>Per Area (kWh = False or kWh/m2 =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</si>
</sst>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sz val="9"/>
      <color indexed="81"/>
      <name val="Tahoma"/>
      <family val="2"/>
    </font>
    <font>
      <b/>
      <sz val="9"/>
      <color indexed="81"/>
      <name val="Tahoma"/>
      <family val="2"/>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4">
    <xf numFmtId="0" fontId="0" fillId="0" borderId="0" xfId="0"/>
    <xf numFmtId="11" fontId="0" fillId="0" borderId="0" xfId="0" applyNumberFormat="1"/>
    <xf numFmtId="0" fontId="4"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D88F-AAE4-4D2D-87DE-7534193B981B}">
  <sheetPr codeName="Sheet3"/>
  <dimension ref="A1:H1"/>
  <sheetViews>
    <sheetView workbookViewId="0">
      <selection activeCell="B8" sqref="B8"/>
    </sheetView>
  </sheetViews>
  <sheetFormatPr defaultColWidth="8.85546875" defaultRowHeight="15" x14ac:dyDescent="0.25"/>
  <cols>
    <col min="1" max="1" width="17.7109375" bestFit="1" customWidth="1"/>
    <col min="2" max="2" width="20.7109375" bestFit="1" customWidth="1"/>
    <col min="3" max="3" width="17.42578125" customWidth="1"/>
    <col min="4" max="4" width="32.140625" bestFit="1" customWidth="1"/>
  </cols>
  <sheetData>
    <row r="1" spans="1:8" x14ac:dyDescent="0.25">
      <c r="A1" s="2" t="s">
        <v>3</v>
      </c>
      <c r="B1" s="2" t="s">
        <v>62</v>
      </c>
      <c r="C1" s="2" t="s">
        <v>116</v>
      </c>
      <c r="D1" s="2" t="s">
        <v>115</v>
      </c>
      <c r="E1" s="2" t="s">
        <v>87</v>
      </c>
      <c r="F1" s="2" t="s">
        <v>58</v>
      </c>
      <c r="G1" s="2" t="s">
        <v>113</v>
      </c>
      <c r="H1" s="2" t="s">
        <v>114</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AFB3D-AEC5-41D8-9CD0-97A9F5CE1342}">
  <sheetPr codeName="Sheet4"/>
  <dimension ref="A1:J25"/>
  <sheetViews>
    <sheetView workbookViewId="0">
      <selection activeCell="F7" sqref="F7"/>
    </sheetView>
  </sheetViews>
  <sheetFormatPr defaultColWidth="8.85546875" defaultRowHeight="15" x14ac:dyDescent="0.25"/>
  <cols>
    <col min="3" max="3" width="10.85546875" bestFit="1" customWidth="1"/>
    <col min="5" max="5" width="14.85546875" bestFit="1" customWidth="1"/>
    <col min="6" max="6" width="11.42578125" bestFit="1" customWidth="1"/>
    <col min="8" max="9" width="13.85546875" bestFit="1" customWidth="1"/>
  </cols>
  <sheetData>
    <row r="1" spans="1:10" x14ac:dyDescent="0.25">
      <c r="A1" t="s">
        <v>5</v>
      </c>
      <c r="B1" t="s">
        <v>4</v>
      </c>
      <c r="C1" t="s">
        <v>22</v>
      </c>
      <c r="D1" t="s">
        <v>25</v>
      </c>
      <c r="E1" t="s">
        <v>26</v>
      </c>
      <c r="F1" t="s">
        <v>30</v>
      </c>
      <c r="G1" t="s">
        <v>31</v>
      </c>
      <c r="H1" t="s">
        <v>33</v>
      </c>
      <c r="I1" t="s">
        <v>34</v>
      </c>
      <c r="J1" t="s">
        <v>86</v>
      </c>
    </row>
    <row r="2" spans="1:10" x14ac:dyDescent="0.25">
      <c r="A2">
        <v>1</v>
      </c>
      <c r="B2">
        <v>1</v>
      </c>
      <c r="C2">
        <v>0</v>
      </c>
      <c r="D2">
        <v>0.1</v>
      </c>
      <c r="E2">
        <v>0.1</v>
      </c>
      <c r="F2">
        <v>0</v>
      </c>
      <c r="G2">
        <v>0.1</v>
      </c>
      <c r="H2">
        <v>0.1</v>
      </c>
      <c r="I2">
        <v>0.05</v>
      </c>
      <c r="J2">
        <v>1</v>
      </c>
    </row>
    <row r="3" spans="1:10" x14ac:dyDescent="0.25">
      <c r="A3">
        <v>2</v>
      </c>
      <c r="B3">
        <v>1</v>
      </c>
      <c r="C3">
        <v>0</v>
      </c>
      <c r="D3">
        <v>0.1</v>
      </c>
      <c r="E3">
        <v>0.1</v>
      </c>
      <c r="F3">
        <v>0</v>
      </c>
      <c r="G3">
        <v>0.05</v>
      </c>
      <c r="H3">
        <v>0.1</v>
      </c>
      <c r="I3">
        <v>0.05</v>
      </c>
      <c r="J3">
        <v>1</v>
      </c>
    </row>
    <row r="4" spans="1:10" x14ac:dyDescent="0.25">
      <c r="A4">
        <v>3</v>
      </c>
      <c r="B4">
        <v>1</v>
      </c>
      <c r="C4">
        <v>0</v>
      </c>
      <c r="D4">
        <v>1</v>
      </c>
      <c r="E4">
        <v>0.1</v>
      </c>
      <c r="F4">
        <v>0</v>
      </c>
      <c r="G4">
        <v>0.05</v>
      </c>
      <c r="H4">
        <v>0.1</v>
      </c>
      <c r="I4">
        <v>0.05</v>
      </c>
      <c r="J4">
        <v>1</v>
      </c>
    </row>
    <row r="5" spans="1:10" x14ac:dyDescent="0.25">
      <c r="A5">
        <v>4</v>
      </c>
      <c r="B5">
        <v>1</v>
      </c>
      <c r="C5">
        <v>0</v>
      </c>
      <c r="D5">
        <v>1</v>
      </c>
      <c r="E5">
        <v>0.1</v>
      </c>
      <c r="F5">
        <v>0</v>
      </c>
      <c r="G5">
        <v>0.1</v>
      </c>
      <c r="H5">
        <v>0.1</v>
      </c>
      <c r="I5">
        <v>0.05</v>
      </c>
      <c r="J5">
        <v>1</v>
      </c>
    </row>
    <row r="6" spans="1:10" x14ac:dyDescent="0.25">
      <c r="A6">
        <v>5</v>
      </c>
      <c r="B6">
        <v>1</v>
      </c>
      <c r="C6">
        <v>0.1</v>
      </c>
      <c r="D6">
        <v>0.1</v>
      </c>
      <c r="E6">
        <v>0.1</v>
      </c>
      <c r="F6">
        <v>0</v>
      </c>
      <c r="G6">
        <v>0.6</v>
      </c>
      <c r="H6">
        <v>0.1</v>
      </c>
      <c r="I6">
        <v>0.05</v>
      </c>
      <c r="J6">
        <v>1</v>
      </c>
    </row>
    <row r="7" spans="1:10" x14ac:dyDescent="0.25">
      <c r="A7">
        <v>6</v>
      </c>
      <c r="B7">
        <v>1</v>
      </c>
      <c r="C7">
        <v>0.2</v>
      </c>
      <c r="D7">
        <v>0.1</v>
      </c>
      <c r="E7">
        <v>1</v>
      </c>
      <c r="F7">
        <v>1</v>
      </c>
      <c r="G7">
        <v>0.7</v>
      </c>
      <c r="H7">
        <v>0</v>
      </c>
      <c r="I7">
        <v>0.1</v>
      </c>
      <c r="J7">
        <v>0.9</v>
      </c>
    </row>
    <row r="8" spans="1:10" x14ac:dyDescent="0.25">
      <c r="A8">
        <v>7</v>
      </c>
      <c r="B8">
        <v>1</v>
      </c>
      <c r="C8">
        <v>1</v>
      </c>
      <c r="D8">
        <v>0.1</v>
      </c>
      <c r="E8">
        <v>1</v>
      </c>
      <c r="F8">
        <v>0</v>
      </c>
      <c r="G8">
        <v>0.8</v>
      </c>
      <c r="H8">
        <v>0</v>
      </c>
      <c r="I8">
        <v>0.2</v>
      </c>
      <c r="J8">
        <v>0.8</v>
      </c>
    </row>
    <row r="9" spans="1:10" x14ac:dyDescent="0.25">
      <c r="A9">
        <v>8</v>
      </c>
      <c r="B9">
        <v>1</v>
      </c>
      <c r="C9">
        <v>1</v>
      </c>
      <c r="D9">
        <v>0.1</v>
      </c>
      <c r="E9">
        <v>1</v>
      </c>
      <c r="F9">
        <v>0</v>
      </c>
      <c r="G9">
        <v>0.9</v>
      </c>
      <c r="H9">
        <v>0</v>
      </c>
      <c r="I9">
        <v>0.3</v>
      </c>
      <c r="J9">
        <v>0.7</v>
      </c>
    </row>
    <row r="10" spans="1:10" x14ac:dyDescent="0.25">
      <c r="A10">
        <v>9</v>
      </c>
      <c r="B10">
        <v>1</v>
      </c>
      <c r="C10">
        <v>0.5</v>
      </c>
      <c r="D10">
        <v>0.1</v>
      </c>
      <c r="E10">
        <v>1</v>
      </c>
      <c r="F10">
        <v>0</v>
      </c>
      <c r="G10">
        <v>1</v>
      </c>
      <c r="H10">
        <v>0</v>
      </c>
      <c r="I10">
        <v>0.3</v>
      </c>
      <c r="J10">
        <v>0.5</v>
      </c>
    </row>
    <row r="11" spans="1:10" x14ac:dyDescent="0.25">
      <c r="A11">
        <v>10</v>
      </c>
      <c r="B11">
        <v>1</v>
      </c>
      <c r="C11">
        <v>0.3</v>
      </c>
      <c r="D11">
        <v>0.1</v>
      </c>
      <c r="E11">
        <v>1</v>
      </c>
      <c r="F11">
        <v>0</v>
      </c>
      <c r="G11">
        <v>1</v>
      </c>
      <c r="H11">
        <v>0</v>
      </c>
      <c r="I11">
        <v>0.5</v>
      </c>
      <c r="J11">
        <v>0.25</v>
      </c>
    </row>
    <row r="12" spans="1:10" x14ac:dyDescent="0.25">
      <c r="A12">
        <v>11</v>
      </c>
      <c r="B12">
        <v>1</v>
      </c>
      <c r="C12">
        <v>0.5</v>
      </c>
      <c r="D12">
        <v>0.1</v>
      </c>
      <c r="E12">
        <v>1</v>
      </c>
      <c r="F12">
        <v>0</v>
      </c>
      <c r="G12">
        <v>1</v>
      </c>
      <c r="H12">
        <v>0</v>
      </c>
      <c r="I12">
        <v>0.5</v>
      </c>
      <c r="J12">
        <v>0.3</v>
      </c>
    </row>
    <row r="13" spans="1:10" x14ac:dyDescent="0.25">
      <c r="A13">
        <v>12</v>
      </c>
      <c r="B13">
        <v>1</v>
      </c>
      <c r="C13">
        <v>1</v>
      </c>
      <c r="D13">
        <v>0.1</v>
      </c>
      <c r="E13">
        <v>1</v>
      </c>
      <c r="F13">
        <v>0</v>
      </c>
      <c r="G13">
        <v>1</v>
      </c>
      <c r="H13">
        <v>0</v>
      </c>
      <c r="I13">
        <v>0.5</v>
      </c>
      <c r="J13">
        <v>0.4</v>
      </c>
    </row>
    <row r="14" spans="1:10" x14ac:dyDescent="0.25">
      <c r="A14">
        <v>13</v>
      </c>
      <c r="B14">
        <v>1</v>
      </c>
      <c r="C14">
        <v>0.7</v>
      </c>
      <c r="D14">
        <v>0.1</v>
      </c>
      <c r="E14">
        <v>1</v>
      </c>
      <c r="F14">
        <v>0</v>
      </c>
      <c r="G14">
        <v>1</v>
      </c>
      <c r="H14">
        <v>0</v>
      </c>
      <c r="I14">
        <v>0.7</v>
      </c>
      <c r="J14">
        <v>0.3</v>
      </c>
    </row>
    <row r="15" spans="1:10" x14ac:dyDescent="0.25">
      <c r="A15">
        <v>14</v>
      </c>
      <c r="B15">
        <v>1</v>
      </c>
      <c r="C15">
        <v>0.5</v>
      </c>
      <c r="D15">
        <v>0.1</v>
      </c>
      <c r="E15">
        <v>1</v>
      </c>
      <c r="F15">
        <v>0</v>
      </c>
      <c r="G15">
        <v>1</v>
      </c>
      <c r="H15">
        <v>0</v>
      </c>
      <c r="I15">
        <v>0.8</v>
      </c>
      <c r="J15">
        <v>0.25</v>
      </c>
    </row>
    <row r="16" spans="1:10" x14ac:dyDescent="0.25">
      <c r="A16">
        <v>15</v>
      </c>
      <c r="B16">
        <v>1</v>
      </c>
      <c r="C16">
        <v>0.3</v>
      </c>
      <c r="D16">
        <v>0.1</v>
      </c>
      <c r="E16">
        <v>1</v>
      </c>
      <c r="F16">
        <v>0</v>
      </c>
      <c r="G16">
        <v>1</v>
      </c>
      <c r="H16">
        <v>0</v>
      </c>
      <c r="I16">
        <v>1</v>
      </c>
      <c r="J16">
        <v>0.4</v>
      </c>
    </row>
    <row r="17" spans="1:10" x14ac:dyDescent="0.25">
      <c r="A17">
        <v>16</v>
      </c>
      <c r="B17">
        <v>1</v>
      </c>
      <c r="C17">
        <v>0.3</v>
      </c>
      <c r="D17">
        <v>0.1</v>
      </c>
      <c r="E17">
        <v>1</v>
      </c>
      <c r="F17">
        <v>0</v>
      </c>
      <c r="G17">
        <v>0.9</v>
      </c>
      <c r="H17">
        <v>0</v>
      </c>
      <c r="I17">
        <v>1</v>
      </c>
      <c r="J17">
        <v>0.6</v>
      </c>
    </row>
    <row r="18" spans="1:10" x14ac:dyDescent="0.25">
      <c r="A18">
        <v>17</v>
      </c>
      <c r="B18">
        <v>1</v>
      </c>
      <c r="C18">
        <v>0.7</v>
      </c>
      <c r="D18">
        <v>0.1</v>
      </c>
      <c r="E18">
        <v>1</v>
      </c>
      <c r="F18">
        <v>0</v>
      </c>
      <c r="G18">
        <v>0.8</v>
      </c>
      <c r="H18">
        <v>0</v>
      </c>
      <c r="I18">
        <v>0.8</v>
      </c>
      <c r="J18">
        <v>0.9</v>
      </c>
    </row>
    <row r="19" spans="1:10" x14ac:dyDescent="0.25">
      <c r="A19">
        <v>18</v>
      </c>
      <c r="B19">
        <v>1</v>
      </c>
      <c r="C19">
        <v>1</v>
      </c>
      <c r="D19">
        <v>0.1</v>
      </c>
      <c r="E19">
        <v>1</v>
      </c>
      <c r="F19">
        <v>1</v>
      </c>
      <c r="G19">
        <v>0.7</v>
      </c>
      <c r="H19">
        <v>0</v>
      </c>
      <c r="I19">
        <v>0.7</v>
      </c>
      <c r="J19">
        <v>0.9</v>
      </c>
    </row>
    <row r="20" spans="1:10" x14ac:dyDescent="0.25">
      <c r="A20">
        <v>19</v>
      </c>
      <c r="B20">
        <v>1</v>
      </c>
      <c r="C20">
        <v>1</v>
      </c>
      <c r="D20">
        <v>0.1</v>
      </c>
      <c r="E20">
        <v>1</v>
      </c>
      <c r="F20">
        <v>0</v>
      </c>
      <c r="G20">
        <v>0.5</v>
      </c>
      <c r="H20">
        <v>1</v>
      </c>
      <c r="I20">
        <v>0.5</v>
      </c>
      <c r="J20">
        <v>0.95</v>
      </c>
    </row>
    <row r="21" spans="1:10" x14ac:dyDescent="0.25">
      <c r="A21">
        <v>20</v>
      </c>
      <c r="B21">
        <v>1</v>
      </c>
      <c r="C21">
        <v>0.5</v>
      </c>
      <c r="D21">
        <v>0.1</v>
      </c>
      <c r="E21">
        <v>0.1</v>
      </c>
      <c r="F21">
        <v>0</v>
      </c>
      <c r="G21">
        <v>0.7</v>
      </c>
      <c r="H21">
        <v>1</v>
      </c>
      <c r="I21">
        <v>0.3</v>
      </c>
      <c r="J21">
        <v>1</v>
      </c>
    </row>
    <row r="22" spans="1:10" x14ac:dyDescent="0.25">
      <c r="A22">
        <v>21</v>
      </c>
      <c r="B22">
        <v>1</v>
      </c>
      <c r="C22">
        <v>0.2</v>
      </c>
      <c r="D22">
        <v>1</v>
      </c>
      <c r="E22">
        <v>1</v>
      </c>
      <c r="F22">
        <v>0</v>
      </c>
      <c r="G22">
        <v>0.7</v>
      </c>
      <c r="H22">
        <v>1</v>
      </c>
      <c r="I22">
        <v>0.1</v>
      </c>
      <c r="J22">
        <v>1</v>
      </c>
    </row>
    <row r="23" spans="1:10" x14ac:dyDescent="0.25">
      <c r="A23">
        <v>22</v>
      </c>
      <c r="B23">
        <v>1</v>
      </c>
      <c r="C23">
        <v>0.1</v>
      </c>
      <c r="D23">
        <v>1</v>
      </c>
      <c r="E23">
        <v>1</v>
      </c>
      <c r="F23">
        <v>0</v>
      </c>
      <c r="G23">
        <v>0.5</v>
      </c>
      <c r="H23">
        <v>1</v>
      </c>
      <c r="I23">
        <v>0.05</v>
      </c>
      <c r="J23">
        <v>1</v>
      </c>
    </row>
    <row r="24" spans="1:10" x14ac:dyDescent="0.25">
      <c r="A24">
        <v>23</v>
      </c>
      <c r="B24">
        <v>1</v>
      </c>
      <c r="C24">
        <v>0</v>
      </c>
      <c r="D24">
        <v>0.1</v>
      </c>
      <c r="E24">
        <v>0.1</v>
      </c>
      <c r="F24">
        <v>0</v>
      </c>
      <c r="G24">
        <v>0.2</v>
      </c>
      <c r="H24">
        <v>0.1</v>
      </c>
      <c r="I24">
        <v>0.05</v>
      </c>
      <c r="J24">
        <v>1</v>
      </c>
    </row>
    <row r="25" spans="1:10" x14ac:dyDescent="0.25">
      <c r="A25">
        <v>24</v>
      </c>
      <c r="B25">
        <v>1</v>
      </c>
      <c r="C25">
        <v>0</v>
      </c>
      <c r="D25">
        <v>0.1</v>
      </c>
      <c r="E25">
        <v>0.1</v>
      </c>
      <c r="F25">
        <v>0</v>
      </c>
      <c r="G25">
        <v>0.1</v>
      </c>
      <c r="H25">
        <v>0.1</v>
      </c>
      <c r="I25">
        <v>0.05</v>
      </c>
      <c r="J2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15ADD-C098-4554-82E7-8072C9645C4B}">
  <dimension ref="A1:C5"/>
  <sheetViews>
    <sheetView workbookViewId="0">
      <selection activeCell="C14" sqref="C14"/>
    </sheetView>
  </sheetViews>
  <sheetFormatPr defaultColWidth="8.85546875" defaultRowHeight="15" x14ac:dyDescent="0.25"/>
  <cols>
    <col min="1" max="1" width="31.42578125" bestFit="1" customWidth="1"/>
    <col min="2" max="2" width="15.28515625" bestFit="1" customWidth="1"/>
    <col min="3" max="3" width="15.42578125" bestFit="1" customWidth="1"/>
  </cols>
  <sheetData>
    <row r="1" spans="1:3" x14ac:dyDescent="0.25">
      <c r="A1" t="s">
        <v>27</v>
      </c>
      <c r="B1" t="s">
        <v>6</v>
      </c>
      <c r="C1" t="s">
        <v>7</v>
      </c>
    </row>
    <row r="2" spans="1:3" x14ac:dyDescent="0.25">
      <c r="A2" t="s">
        <v>32</v>
      </c>
      <c r="B2" t="s">
        <v>77</v>
      </c>
      <c r="C2" t="s">
        <v>78</v>
      </c>
    </row>
    <row r="3" spans="1:3" x14ac:dyDescent="0.25">
      <c r="A3" t="s">
        <v>88</v>
      </c>
      <c r="B3">
        <v>300</v>
      </c>
      <c r="C3">
        <v>300</v>
      </c>
    </row>
    <row r="4" spans="1:3" x14ac:dyDescent="0.25">
      <c r="A4" t="s">
        <v>79</v>
      </c>
      <c r="B4">
        <v>15</v>
      </c>
      <c r="C4">
        <v>15</v>
      </c>
    </row>
    <row r="5" spans="1:3" x14ac:dyDescent="0.25">
      <c r="A5" t="s">
        <v>91</v>
      </c>
      <c r="B5">
        <v>0.9</v>
      </c>
      <c r="C5">
        <v>0.9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5F20-6A8D-462E-897F-1C9ED73D94DE}">
  <dimension ref="A1:C6"/>
  <sheetViews>
    <sheetView workbookViewId="0">
      <selection activeCell="C5" sqref="C5"/>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27</v>
      </c>
      <c r="B1" t="s">
        <v>68</v>
      </c>
      <c r="C1" t="s">
        <v>69</v>
      </c>
    </row>
    <row r="2" spans="1:3" x14ac:dyDescent="0.25">
      <c r="A2" t="s">
        <v>66</v>
      </c>
      <c r="B2" t="s">
        <v>70</v>
      </c>
      <c r="C2" t="s">
        <v>71</v>
      </c>
    </row>
    <row r="3" spans="1:3" x14ac:dyDescent="0.25">
      <c r="A3" t="s">
        <v>72</v>
      </c>
      <c r="B3">
        <v>50</v>
      </c>
      <c r="C3">
        <v>75</v>
      </c>
    </row>
    <row r="4" spans="1:3" x14ac:dyDescent="0.25">
      <c r="A4" t="s">
        <v>90</v>
      </c>
      <c r="B4">
        <v>0.05</v>
      </c>
      <c r="C4">
        <v>0.05</v>
      </c>
    </row>
    <row r="5" spans="1:3" x14ac:dyDescent="0.25">
      <c r="A5" t="s">
        <v>67</v>
      </c>
      <c r="B5">
        <v>0.1</v>
      </c>
      <c r="C5">
        <v>0.1</v>
      </c>
    </row>
    <row r="6" spans="1:3" x14ac:dyDescent="0.25">
      <c r="A6" t="s">
        <v>73</v>
      </c>
      <c r="B6" t="s">
        <v>74</v>
      </c>
      <c r="C6" t="s">
        <v>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11AD4-AAF4-4CBE-90F8-956CBDBFCB81}">
  <dimension ref="A1:C5"/>
  <sheetViews>
    <sheetView workbookViewId="0">
      <selection activeCell="D30" sqref="D30"/>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76</v>
      </c>
      <c r="B1" t="s">
        <v>74</v>
      </c>
      <c r="C1" t="s">
        <v>75</v>
      </c>
    </row>
    <row r="2" spans="1:3" x14ac:dyDescent="0.25">
      <c r="A2">
        <v>0.25</v>
      </c>
      <c r="C2">
        <v>0.3</v>
      </c>
    </row>
    <row r="3" spans="1:3" x14ac:dyDescent="0.25">
      <c r="A3">
        <v>0.5</v>
      </c>
      <c r="B3">
        <v>0.6</v>
      </c>
      <c r="C3">
        <v>0.6</v>
      </c>
    </row>
    <row r="4" spans="1:3" x14ac:dyDescent="0.25">
      <c r="A4">
        <v>0.75</v>
      </c>
      <c r="C4">
        <v>0.95</v>
      </c>
    </row>
    <row r="5" spans="1:3" x14ac:dyDescent="0.25">
      <c r="A5">
        <v>1</v>
      </c>
      <c r="B5">
        <v>1</v>
      </c>
      <c r="C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065A-DFFF-469D-B126-F505F8741FBA}">
  <dimension ref="A1:C5"/>
  <sheetViews>
    <sheetView workbookViewId="0">
      <selection activeCell="C6" sqref="C6"/>
    </sheetView>
  </sheetViews>
  <sheetFormatPr defaultColWidth="8.85546875" defaultRowHeight="15" x14ac:dyDescent="0.25"/>
  <cols>
    <col min="1" max="1" width="22.28515625" bestFit="1" customWidth="1"/>
    <col min="2" max="2" width="10.28515625" bestFit="1" customWidth="1"/>
    <col min="3" max="3" width="10.42578125" bestFit="1" customWidth="1"/>
  </cols>
  <sheetData>
    <row r="1" spans="1:3" x14ac:dyDescent="0.25">
      <c r="A1" t="s">
        <v>76</v>
      </c>
      <c r="B1" t="s">
        <v>74</v>
      </c>
      <c r="C1" t="s">
        <v>75</v>
      </c>
    </row>
    <row r="2" spans="1:3" x14ac:dyDescent="0.25">
      <c r="A2">
        <v>0.25</v>
      </c>
      <c r="C2">
        <v>23</v>
      </c>
    </row>
    <row r="3" spans="1:3" x14ac:dyDescent="0.25">
      <c r="A3">
        <v>0.5</v>
      </c>
      <c r="B3">
        <v>25</v>
      </c>
      <c r="C3">
        <v>25</v>
      </c>
    </row>
    <row r="4" spans="1:3" x14ac:dyDescent="0.25">
      <c r="A4">
        <v>0.75</v>
      </c>
      <c r="C4">
        <v>28</v>
      </c>
    </row>
    <row r="5" spans="1:3" x14ac:dyDescent="0.25">
      <c r="A5">
        <v>1</v>
      </c>
      <c r="B5">
        <v>30</v>
      </c>
      <c r="C5">
        <v>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3C7D1-F87B-4128-AEC4-6862B397FBA6}">
  <sheetPr codeName="Sheet1"/>
  <dimension ref="A1:C12"/>
  <sheetViews>
    <sheetView workbookViewId="0">
      <selection activeCell="A7" sqref="A7"/>
    </sheetView>
  </sheetViews>
  <sheetFormatPr defaultColWidth="8.85546875" defaultRowHeight="15" x14ac:dyDescent="0.25"/>
  <cols>
    <col min="1" max="1" width="75.42578125" bestFit="1" customWidth="1"/>
    <col min="2" max="2" width="13.28515625" bestFit="1" customWidth="1"/>
  </cols>
  <sheetData>
    <row r="1" spans="1:3" x14ac:dyDescent="0.25">
      <c r="A1" s="2" t="s">
        <v>27</v>
      </c>
      <c r="B1" s="2" t="s">
        <v>29</v>
      </c>
      <c r="C1" s="2" t="s">
        <v>28</v>
      </c>
    </row>
    <row r="2" spans="1:3" x14ac:dyDescent="0.25">
      <c r="A2" t="s">
        <v>19</v>
      </c>
      <c r="B2">
        <v>5.1840000000000002</v>
      </c>
      <c r="C2">
        <v>1</v>
      </c>
    </row>
    <row r="3" spans="1:3" x14ac:dyDescent="0.25">
      <c r="A3" t="s">
        <v>96</v>
      </c>
      <c r="B3">
        <v>2</v>
      </c>
      <c r="C3">
        <v>1</v>
      </c>
    </row>
    <row r="4" spans="1:3" x14ac:dyDescent="0.25">
      <c r="A4" t="s">
        <v>20</v>
      </c>
      <c r="B4">
        <v>2.94</v>
      </c>
      <c r="C4">
        <v>1.8</v>
      </c>
    </row>
    <row r="5" spans="1:3" x14ac:dyDescent="0.25">
      <c r="A5" t="s">
        <v>92</v>
      </c>
      <c r="B5">
        <v>15</v>
      </c>
      <c r="C5">
        <v>15</v>
      </c>
    </row>
    <row r="6" spans="1:3" x14ac:dyDescent="0.25">
      <c r="A6" t="s">
        <v>24</v>
      </c>
      <c r="B6">
        <v>277</v>
      </c>
      <c r="C6">
        <v>277</v>
      </c>
    </row>
    <row r="7" spans="1:3" x14ac:dyDescent="0.25">
      <c r="A7" t="s">
        <v>98</v>
      </c>
      <c r="B7" s="1">
        <v>0.1</v>
      </c>
      <c r="C7" s="1">
        <v>0.05</v>
      </c>
    </row>
    <row r="8" spans="1:3" x14ac:dyDescent="0.25">
      <c r="A8" t="s">
        <v>21</v>
      </c>
      <c r="B8" t="s">
        <v>22</v>
      </c>
      <c r="C8" t="s">
        <v>22</v>
      </c>
    </row>
    <row r="9" spans="1:3" x14ac:dyDescent="0.25">
      <c r="A9" t="s">
        <v>18</v>
      </c>
      <c r="B9">
        <v>0.8</v>
      </c>
      <c r="C9">
        <v>0.6</v>
      </c>
    </row>
    <row r="10" spans="1:3" x14ac:dyDescent="0.25">
      <c r="A10" t="s">
        <v>23</v>
      </c>
      <c r="B10">
        <v>20</v>
      </c>
      <c r="C10">
        <v>5</v>
      </c>
    </row>
    <row r="11" spans="1:3" x14ac:dyDescent="0.25">
      <c r="A11" t="s">
        <v>35</v>
      </c>
      <c r="B11">
        <v>0.9</v>
      </c>
      <c r="C11">
        <v>0.8</v>
      </c>
    </row>
    <row r="12" spans="1:3" x14ac:dyDescent="0.25">
      <c r="A12" t="s">
        <v>97</v>
      </c>
      <c r="B12">
        <v>250</v>
      </c>
      <c r="C1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18425-E722-4F57-B024-BDDDCB68011B}">
  <sheetPr codeName="Sheet5"/>
  <dimension ref="A1:D20"/>
  <sheetViews>
    <sheetView workbookViewId="0">
      <selection activeCell="B1" sqref="B1:C1"/>
    </sheetView>
  </sheetViews>
  <sheetFormatPr defaultColWidth="8.85546875" defaultRowHeight="15" x14ac:dyDescent="0.25"/>
  <cols>
    <col min="1" max="1" width="44.28515625" bestFit="1" customWidth="1"/>
    <col min="2" max="2" width="31.7109375" bestFit="1" customWidth="1"/>
    <col min="3" max="4" width="31.7109375" customWidth="1"/>
    <col min="5" max="5" width="15.7109375" bestFit="1" customWidth="1"/>
    <col min="6" max="6" width="18.85546875" bestFit="1" customWidth="1"/>
    <col min="7" max="7" width="13.140625" bestFit="1" customWidth="1"/>
    <col min="8" max="8" width="10" bestFit="1" customWidth="1"/>
  </cols>
  <sheetData>
    <row r="1" spans="1:4" x14ac:dyDescent="0.25">
      <c r="A1" t="s">
        <v>27</v>
      </c>
      <c r="B1" t="s">
        <v>40</v>
      </c>
      <c r="C1" t="s">
        <v>39</v>
      </c>
    </row>
    <row r="2" spans="1:4" x14ac:dyDescent="0.25">
      <c r="A2" t="s">
        <v>36</v>
      </c>
      <c r="B2">
        <v>3500</v>
      </c>
      <c r="C2">
        <v>3400</v>
      </c>
    </row>
    <row r="3" spans="1:4" x14ac:dyDescent="0.25">
      <c r="A3" t="s">
        <v>37</v>
      </c>
      <c r="B3">
        <f>1.852/2.372</f>
        <v>0.78077571669477241</v>
      </c>
      <c r="C3">
        <f>2.161/3.088</f>
        <v>0.69980569948186533</v>
      </c>
    </row>
    <row r="4" spans="1:4" x14ac:dyDescent="0.25">
      <c r="A4" t="s">
        <v>38</v>
      </c>
      <c r="B4">
        <f>2601/3500</f>
        <v>0.74314285714285711</v>
      </c>
      <c r="C4">
        <f>1.38*3.088/(1.3*3.4)</f>
        <v>0.96412669683257912</v>
      </c>
    </row>
    <row r="5" spans="1:4" x14ac:dyDescent="0.25">
      <c r="A5" t="s">
        <v>16</v>
      </c>
      <c r="B5">
        <v>1600</v>
      </c>
      <c r="C5">
        <v>1300</v>
      </c>
    </row>
    <row r="6" spans="1:4" x14ac:dyDescent="0.25">
      <c r="A6" t="s">
        <v>17</v>
      </c>
      <c r="B6">
        <v>480</v>
      </c>
      <c r="C6">
        <v>500</v>
      </c>
    </row>
    <row r="20" spans="4:4" x14ac:dyDescent="0.25"/>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DF659-D481-45B1-B743-1FD69C238DA4}">
  <sheetPr codeName="Sheet6"/>
  <dimension ref="A1:H7"/>
  <sheetViews>
    <sheetView workbookViewId="0">
      <selection activeCell="A2" sqref="A2:H4"/>
    </sheetView>
  </sheetViews>
  <sheetFormatPr defaultColWidth="8.85546875" defaultRowHeight="15" x14ac:dyDescent="0.25"/>
  <cols>
    <col min="1" max="1" width="28.85546875" bestFit="1" customWidth="1"/>
    <col min="2" max="2" width="10.85546875" bestFit="1" customWidth="1"/>
  </cols>
  <sheetData>
    <row r="1" spans="1:8" x14ac:dyDescent="0.25">
      <c r="A1" t="s">
        <v>41</v>
      </c>
      <c r="B1" t="s">
        <v>45</v>
      </c>
      <c r="C1" t="s">
        <v>10</v>
      </c>
      <c r="D1" t="s">
        <v>11</v>
      </c>
      <c r="E1" t="s">
        <v>12</v>
      </c>
      <c r="F1" t="s">
        <v>13</v>
      </c>
      <c r="G1" t="s">
        <v>14</v>
      </c>
      <c r="H1" t="s">
        <v>15</v>
      </c>
    </row>
    <row r="2" spans="1:8" x14ac:dyDescent="0.25">
      <c r="A2" t="s">
        <v>40</v>
      </c>
      <c r="B2" t="s">
        <v>42</v>
      </c>
      <c r="C2">
        <v>-5.7940001750639999E-2</v>
      </c>
      <c r="D2">
        <v>0.175064</v>
      </c>
      <c r="E2">
        <v>-3.2100000000000002E-3</v>
      </c>
      <c r="F2">
        <v>-8.4220000000000003E-2</v>
      </c>
      <c r="G2">
        <v>7.2599999999999997E-4</v>
      </c>
      <c r="H2">
        <v>1.297E-3</v>
      </c>
    </row>
    <row r="3" spans="1:8" x14ac:dyDescent="0.25">
      <c r="A3" t="s">
        <v>40</v>
      </c>
      <c r="B3" t="s">
        <v>43</v>
      </c>
      <c r="C3">
        <v>0.53669900000000004</v>
      </c>
      <c r="D3">
        <v>0.15676100000000001</v>
      </c>
      <c r="E3">
        <v>-2.7399999999999998E-3</v>
      </c>
      <c r="F3">
        <v>-9.1069999999999998E-2</v>
      </c>
      <c r="G3">
        <v>8.12E-4</v>
      </c>
      <c r="H3">
        <v>8.9300000000000002E-4</v>
      </c>
    </row>
    <row r="4" spans="1:8" x14ac:dyDescent="0.25">
      <c r="A4" t="s">
        <v>40</v>
      </c>
      <c r="B4" t="s">
        <v>44</v>
      </c>
      <c r="C4">
        <v>2.137813</v>
      </c>
      <c r="D4">
        <v>1.8914E-2</v>
      </c>
      <c r="E4">
        <v>-1.33E-3</v>
      </c>
      <c r="F4">
        <v>-8.0130000000000007E-2</v>
      </c>
      <c r="G4">
        <v>5.9400000000000002E-4</v>
      </c>
      <c r="H4">
        <v>1.526E-3</v>
      </c>
    </row>
    <row r="5" spans="1:8" x14ac:dyDescent="0.25">
      <c r="A5" t="s">
        <v>39</v>
      </c>
      <c r="B5" t="s">
        <v>42</v>
      </c>
      <c r="C5">
        <v>0.67880300000000005</v>
      </c>
      <c r="D5">
        <v>5.0035000000000003E-2</v>
      </c>
      <c r="E5">
        <v>-8.5999999999999998E-4</v>
      </c>
      <c r="F5">
        <v>-2.1749999999999999E-2</v>
      </c>
      <c r="G5">
        <v>-1.56E-4</v>
      </c>
      <c r="H5">
        <v>9.3329999999999997E-4</v>
      </c>
    </row>
    <row r="6" spans="1:8" x14ac:dyDescent="0.25">
      <c r="A6" t="s">
        <v>39</v>
      </c>
      <c r="B6" t="s">
        <v>43</v>
      </c>
      <c r="C6">
        <v>1.388474</v>
      </c>
      <c r="D6">
        <v>7.6998999999999998E-2</v>
      </c>
      <c r="E6">
        <v>-9.3000000000000005E-4</v>
      </c>
      <c r="F6">
        <v>-5.425E-2</v>
      </c>
      <c r="G6">
        <v>2.7460000000000001E-4</v>
      </c>
      <c r="H6">
        <v>1.448E-4</v>
      </c>
    </row>
    <row r="7" spans="1:8" x14ac:dyDescent="0.25">
      <c r="A7" t="s">
        <v>39</v>
      </c>
      <c r="B7" t="s">
        <v>44</v>
      </c>
      <c r="C7">
        <v>-2.05444</v>
      </c>
      <c r="D7">
        <v>0.25443700000000002</v>
      </c>
      <c r="E7">
        <v>-5.1999999999999998E-3</v>
      </c>
      <c r="F7">
        <v>-2.3000000000000001E-4</v>
      </c>
      <c r="G7">
        <v>-3.2009999999999997E-4</v>
      </c>
      <c r="H7">
        <v>5.2189999999999995E-4</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7933-B2DE-42DD-B853-7D4981178185}">
  <sheetPr codeName="Sheet7"/>
  <dimension ref="A1:F5"/>
  <sheetViews>
    <sheetView workbookViewId="0">
      <selection activeCell="C1" sqref="C1"/>
    </sheetView>
  </sheetViews>
  <sheetFormatPr defaultColWidth="8.85546875" defaultRowHeight="15" x14ac:dyDescent="0.25"/>
  <cols>
    <col min="1" max="1" width="28.85546875" bestFit="1" customWidth="1"/>
    <col min="2" max="2" width="11.7109375" bestFit="1" customWidth="1"/>
  </cols>
  <sheetData>
    <row r="1" spans="1:6" x14ac:dyDescent="0.25">
      <c r="A1" t="s">
        <v>41</v>
      </c>
      <c r="B1" t="s">
        <v>32</v>
      </c>
      <c r="C1" t="s">
        <v>99</v>
      </c>
      <c r="D1" t="s">
        <v>0</v>
      </c>
      <c r="E1" t="s">
        <v>1</v>
      </c>
      <c r="F1" t="s">
        <v>2</v>
      </c>
    </row>
    <row r="2" spans="1:6" x14ac:dyDescent="0.25">
      <c r="A2" t="s">
        <v>40</v>
      </c>
      <c r="B2" t="s">
        <v>8</v>
      </c>
      <c r="C2">
        <v>25</v>
      </c>
      <c r="D2">
        <v>25</v>
      </c>
      <c r="E2">
        <v>25</v>
      </c>
      <c r="F2">
        <v>25</v>
      </c>
    </row>
    <row r="3" spans="1:6" x14ac:dyDescent="0.25">
      <c r="A3" t="s">
        <v>40</v>
      </c>
      <c r="B3" t="s">
        <v>9</v>
      </c>
      <c r="C3">
        <v>20</v>
      </c>
      <c r="D3">
        <v>20</v>
      </c>
      <c r="E3">
        <v>20</v>
      </c>
      <c r="F3">
        <v>20</v>
      </c>
    </row>
    <row r="4" spans="1:6" x14ac:dyDescent="0.25">
      <c r="A4" t="s">
        <v>39</v>
      </c>
      <c r="B4" t="s">
        <v>8</v>
      </c>
      <c r="C4">
        <v>25</v>
      </c>
      <c r="D4">
        <v>25</v>
      </c>
      <c r="E4">
        <v>25</v>
      </c>
      <c r="F4">
        <v>25</v>
      </c>
    </row>
    <row r="5" spans="1:6" x14ac:dyDescent="0.25">
      <c r="A5" t="s">
        <v>39</v>
      </c>
      <c r="B5" t="s">
        <v>9</v>
      </c>
      <c r="C5">
        <v>20</v>
      </c>
      <c r="D5">
        <v>20</v>
      </c>
      <c r="E5">
        <v>20</v>
      </c>
      <c r="F5">
        <v>20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462B-EDA9-43E5-9A2F-E04E23E5EE02}">
  <dimension ref="A1:B37"/>
  <sheetViews>
    <sheetView tabSelected="1" workbookViewId="0">
      <selection activeCell="C1" sqref="C1:C1048576"/>
    </sheetView>
  </sheetViews>
  <sheetFormatPr defaultColWidth="8.85546875" defaultRowHeight="15" x14ac:dyDescent="0.25"/>
  <cols>
    <col min="1" max="1" width="61.42578125" bestFit="1" customWidth="1"/>
    <col min="2" max="2" width="24.85546875" bestFit="1" customWidth="1"/>
  </cols>
  <sheetData>
    <row r="1" spans="1:2" x14ac:dyDescent="0.25">
      <c r="A1" t="s">
        <v>27</v>
      </c>
      <c r="B1" t="s">
        <v>63</v>
      </c>
    </row>
    <row r="2" spans="1:2" x14ac:dyDescent="0.25">
      <c r="A2" s="3" t="s">
        <v>59</v>
      </c>
      <c r="B2" t="s">
        <v>63</v>
      </c>
    </row>
    <row r="3" spans="1:2" x14ac:dyDescent="0.25">
      <c r="A3" s="3" t="s">
        <v>101</v>
      </c>
      <c r="B3">
        <v>100</v>
      </c>
    </row>
    <row r="4" spans="1:2" x14ac:dyDescent="0.25">
      <c r="A4" s="3" t="s">
        <v>102</v>
      </c>
      <c r="B4">
        <v>3</v>
      </c>
    </row>
    <row r="5" spans="1:2" x14ac:dyDescent="0.25">
      <c r="A5" s="3" t="s">
        <v>46</v>
      </c>
      <c r="B5">
        <v>2</v>
      </c>
    </row>
    <row r="6" spans="1:2" x14ac:dyDescent="0.25">
      <c r="A6" s="3" t="s">
        <v>47</v>
      </c>
      <c r="B6">
        <v>8</v>
      </c>
    </row>
    <row r="7" spans="1:2" x14ac:dyDescent="0.25">
      <c r="A7" s="3" t="s">
        <v>48</v>
      </c>
      <c r="B7">
        <v>0.5</v>
      </c>
    </row>
    <row r="8" spans="1:2" x14ac:dyDescent="0.25">
      <c r="A8" s="3" t="s">
        <v>49</v>
      </c>
      <c r="B8">
        <v>0.25</v>
      </c>
    </row>
    <row r="9" spans="1:2" x14ac:dyDescent="0.25">
      <c r="A9" s="3" t="s">
        <v>50</v>
      </c>
      <c r="B9">
        <v>0.2</v>
      </c>
    </row>
    <row r="10" spans="1:2" x14ac:dyDescent="0.25">
      <c r="A10" s="3" t="s">
        <v>51</v>
      </c>
      <c r="B10">
        <v>0.2</v>
      </c>
    </row>
    <row r="11" spans="1:2" x14ac:dyDescent="0.25">
      <c r="A11" s="3" t="s">
        <v>52</v>
      </c>
      <c r="B11">
        <v>0.2</v>
      </c>
    </row>
    <row r="12" spans="1:2" x14ac:dyDescent="0.25">
      <c r="A12" s="3" t="s">
        <v>53</v>
      </c>
      <c r="B12">
        <v>0.2</v>
      </c>
    </row>
    <row r="13" spans="1:2" x14ac:dyDescent="0.25">
      <c r="A13" s="3" t="s">
        <v>103</v>
      </c>
      <c r="B13">
        <v>0.2</v>
      </c>
    </row>
    <row r="14" spans="1:2" x14ac:dyDescent="0.25">
      <c r="A14" s="3" t="s">
        <v>104</v>
      </c>
      <c r="B14">
        <v>1800</v>
      </c>
    </row>
    <row r="15" spans="1:2" x14ac:dyDescent="0.25">
      <c r="A15" s="3" t="s">
        <v>109</v>
      </c>
    </row>
    <row r="16" spans="1:2" x14ac:dyDescent="0.25">
      <c r="A16" s="3" t="s">
        <v>110</v>
      </c>
    </row>
    <row r="17" spans="1:2" x14ac:dyDescent="0.25">
      <c r="A17" s="3" t="s">
        <v>111</v>
      </c>
    </row>
    <row r="18" spans="1:2" x14ac:dyDescent="0.25">
      <c r="A18" s="3" t="s">
        <v>54</v>
      </c>
      <c r="B18">
        <v>0.45</v>
      </c>
    </row>
    <row r="19" spans="1:2" x14ac:dyDescent="0.25">
      <c r="A19" s="3" t="s">
        <v>55</v>
      </c>
      <c r="B19">
        <v>0.2</v>
      </c>
    </row>
    <row r="20" spans="1:2" x14ac:dyDescent="0.25">
      <c r="A20" s="3" t="s">
        <v>56</v>
      </c>
      <c r="B20">
        <v>1</v>
      </c>
    </row>
    <row r="21" spans="1:2" x14ac:dyDescent="0.25">
      <c r="A21" s="3" t="s">
        <v>57</v>
      </c>
      <c r="B21" t="s">
        <v>89</v>
      </c>
    </row>
    <row r="22" spans="1:2" x14ac:dyDescent="0.25">
      <c r="A22" s="3" t="s">
        <v>80</v>
      </c>
      <c r="B22" t="s">
        <v>86</v>
      </c>
    </row>
    <row r="23" spans="1:2" x14ac:dyDescent="0.25">
      <c r="A23" s="3" t="s">
        <v>60</v>
      </c>
      <c r="B23">
        <v>18.465499999999999</v>
      </c>
    </row>
    <row r="24" spans="1:2" x14ac:dyDescent="0.25">
      <c r="A24" s="3" t="s">
        <v>61</v>
      </c>
      <c r="B24">
        <v>-66.105699999999999</v>
      </c>
    </row>
    <row r="25" spans="1:2" x14ac:dyDescent="0.25">
      <c r="A25" s="3" t="s">
        <v>81</v>
      </c>
      <c r="B25">
        <v>2020</v>
      </c>
    </row>
    <row r="26" spans="1:2" x14ac:dyDescent="0.25">
      <c r="A26" s="3" t="s">
        <v>82</v>
      </c>
      <c r="B26">
        <v>0</v>
      </c>
    </row>
    <row r="27" spans="1:2" x14ac:dyDescent="0.25">
      <c r="A27" t="s">
        <v>105</v>
      </c>
      <c r="B27">
        <v>0</v>
      </c>
    </row>
    <row r="28" spans="1:2" x14ac:dyDescent="0.25">
      <c r="A28" s="3" t="s">
        <v>106</v>
      </c>
      <c r="B28">
        <v>0</v>
      </c>
    </row>
    <row r="29" spans="1:2" x14ac:dyDescent="0.25">
      <c r="A29" s="3" t="s">
        <v>83</v>
      </c>
      <c r="B29">
        <v>0.7</v>
      </c>
    </row>
    <row r="30" spans="1:2" x14ac:dyDescent="0.25">
      <c r="A30" s="3" t="s">
        <v>84</v>
      </c>
      <c r="B30">
        <v>0.8</v>
      </c>
    </row>
    <row r="31" spans="1:2" x14ac:dyDescent="0.25">
      <c r="A31" s="3" t="s">
        <v>85</v>
      </c>
      <c r="B31">
        <v>110</v>
      </c>
    </row>
    <row r="32" spans="1:2" x14ac:dyDescent="0.25">
      <c r="A32" s="3" t="s">
        <v>93</v>
      </c>
      <c r="B32">
        <v>100</v>
      </c>
    </row>
    <row r="33" spans="1:2" x14ac:dyDescent="0.25">
      <c r="A33" s="3" t="s">
        <v>94</v>
      </c>
      <c r="B33">
        <v>27</v>
      </c>
    </row>
    <row r="34" spans="1:2" x14ac:dyDescent="0.25">
      <c r="A34" s="3" t="s">
        <v>95</v>
      </c>
      <c r="B34">
        <v>7.0000000000000001E-3</v>
      </c>
    </row>
    <row r="35" spans="1:2" x14ac:dyDescent="0.25">
      <c r="A35" s="3" t="s">
        <v>107</v>
      </c>
      <c r="B35" t="b">
        <v>0</v>
      </c>
    </row>
    <row r="36" spans="1:2" x14ac:dyDescent="0.25">
      <c r="A36" s="3" t="s">
        <v>108</v>
      </c>
      <c r="B36" t="b">
        <v>0</v>
      </c>
    </row>
    <row r="37" spans="1:2" x14ac:dyDescent="0.25">
      <c r="A37" t="s">
        <v>112</v>
      </c>
      <c r="B37">
        <v>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DFB3B-01AC-405E-B9F9-608E792F0962}">
  <dimension ref="A1:F1"/>
  <sheetViews>
    <sheetView workbookViewId="0">
      <selection sqref="A1:F1"/>
    </sheetView>
  </sheetViews>
  <sheetFormatPr defaultColWidth="8.85546875" defaultRowHeight="15" x14ac:dyDescent="0.25"/>
  <cols>
    <col min="1" max="1" width="14.140625" bestFit="1" customWidth="1"/>
    <col min="2" max="2" width="11.140625" bestFit="1" customWidth="1"/>
    <col min="3" max="3" width="11.28515625" bestFit="1" customWidth="1"/>
  </cols>
  <sheetData>
    <row r="1" spans="1:6" x14ac:dyDescent="0.25">
      <c r="A1" t="s">
        <v>59</v>
      </c>
      <c r="B1" t="s">
        <v>27</v>
      </c>
      <c r="C1" t="s">
        <v>99</v>
      </c>
      <c r="D1" t="s">
        <v>0</v>
      </c>
      <c r="E1" t="s">
        <v>1</v>
      </c>
      <c r="F1" t="s">
        <v>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F8318-3E67-4FE8-9E0B-977CA9275A16}">
  <dimension ref="A1:B1"/>
  <sheetViews>
    <sheetView workbookViewId="0">
      <selection activeCell="B2" sqref="B2"/>
    </sheetView>
  </sheetViews>
  <sheetFormatPr defaultColWidth="8.85546875" defaultRowHeight="15" x14ac:dyDescent="0.25"/>
  <cols>
    <col min="1" max="1" width="10.85546875" bestFit="1" customWidth="1"/>
    <col min="2" max="2" width="8.28515625" bestFit="1" customWidth="1"/>
  </cols>
  <sheetData>
    <row r="1" spans="1:2" x14ac:dyDescent="0.25">
      <c r="A1" t="s">
        <v>100</v>
      </c>
      <c r="B1" t="s">
        <v>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F35B1-C4A2-4D84-B5A5-CBD83A7FAC3B}">
  <dimension ref="A1:D13"/>
  <sheetViews>
    <sheetView workbookViewId="0">
      <selection activeCell="D5" sqref="D5"/>
    </sheetView>
  </sheetViews>
  <sheetFormatPr defaultColWidth="8.85546875" defaultRowHeight="15" x14ac:dyDescent="0.25"/>
  <cols>
    <col min="1" max="1" width="9.7109375" bestFit="1" customWidth="1"/>
    <col min="2" max="2" width="14.28515625" bestFit="1" customWidth="1"/>
    <col min="3" max="3" width="11.140625" bestFit="1" customWidth="1"/>
  </cols>
  <sheetData>
    <row r="1" spans="1:4" x14ac:dyDescent="0.25">
      <c r="A1" t="s">
        <v>58</v>
      </c>
      <c r="B1" t="s">
        <v>68</v>
      </c>
      <c r="C1" t="s">
        <v>69</v>
      </c>
      <c r="D1" s="2" t="s">
        <v>87</v>
      </c>
    </row>
    <row r="2" spans="1:4" x14ac:dyDescent="0.25">
      <c r="A2" t="s">
        <v>63</v>
      </c>
      <c r="B2">
        <v>4</v>
      </c>
      <c r="C2">
        <v>1</v>
      </c>
      <c r="D2" t="s">
        <v>99</v>
      </c>
    </row>
    <row r="3" spans="1:4" x14ac:dyDescent="0.25">
      <c r="A3" t="s">
        <v>64</v>
      </c>
      <c r="B3">
        <v>6</v>
      </c>
      <c r="C3">
        <v>1</v>
      </c>
      <c r="D3" t="s">
        <v>99</v>
      </c>
    </row>
    <row r="4" spans="1:4" x14ac:dyDescent="0.25">
      <c r="A4" t="s">
        <v>65</v>
      </c>
      <c r="B4">
        <v>8</v>
      </c>
      <c r="C4">
        <v>2</v>
      </c>
      <c r="D4" t="s">
        <v>99</v>
      </c>
    </row>
    <row r="5" spans="1:4" x14ac:dyDescent="0.25">
      <c r="A5" t="s">
        <v>63</v>
      </c>
      <c r="B5">
        <v>4</v>
      </c>
      <c r="C5">
        <v>1</v>
      </c>
      <c r="D5" t="s">
        <v>0</v>
      </c>
    </row>
    <row r="6" spans="1:4" x14ac:dyDescent="0.25">
      <c r="A6" t="s">
        <v>64</v>
      </c>
      <c r="B6">
        <v>6</v>
      </c>
      <c r="C6">
        <v>1</v>
      </c>
      <c r="D6" t="s">
        <v>0</v>
      </c>
    </row>
    <row r="7" spans="1:4" x14ac:dyDescent="0.25">
      <c r="A7" t="s">
        <v>65</v>
      </c>
      <c r="B7">
        <v>8</v>
      </c>
      <c r="C7">
        <v>2</v>
      </c>
      <c r="D7" t="s">
        <v>0</v>
      </c>
    </row>
    <row r="8" spans="1:4" x14ac:dyDescent="0.25">
      <c r="A8" t="s">
        <v>63</v>
      </c>
      <c r="B8">
        <v>4</v>
      </c>
      <c r="C8">
        <v>1</v>
      </c>
      <c r="D8" t="s">
        <v>1</v>
      </c>
    </row>
    <row r="9" spans="1:4" x14ac:dyDescent="0.25">
      <c r="A9" t="s">
        <v>64</v>
      </c>
      <c r="B9">
        <v>6</v>
      </c>
      <c r="C9">
        <v>1</v>
      </c>
      <c r="D9" t="s">
        <v>1</v>
      </c>
    </row>
    <row r="10" spans="1:4" x14ac:dyDescent="0.25">
      <c r="A10" t="s">
        <v>65</v>
      </c>
      <c r="B10">
        <v>8</v>
      </c>
      <c r="C10">
        <v>2</v>
      </c>
      <c r="D10" t="s">
        <v>1</v>
      </c>
    </row>
    <row r="11" spans="1:4" x14ac:dyDescent="0.25">
      <c r="A11" t="s">
        <v>63</v>
      </c>
      <c r="B11">
        <v>4</v>
      </c>
      <c r="C11">
        <v>1</v>
      </c>
      <c r="D11" t="s">
        <v>2</v>
      </c>
    </row>
    <row r="12" spans="1:4" x14ac:dyDescent="0.25">
      <c r="A12" t="s">
        <v>64</v>
      </c>
      <c r="B12">
        <v>6</v>
      </c>
      <c r="C12">
        <v>1</v>
      </c>
      <c r="D12" t="s">
        <v>2</v>
      </c>
    </row>
    <row r="13" spans="1:4" x14ac:dyDescent="0.25">
      <c r="A13" t="s">
        <v>65</v>
      </c>
      <c r="B13">
        <v>8</v>
      </c>
      <c r="C13">
        <v>2</v>
      </c>
      <c r="D13" t="s">
        <v>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5E89-445B-4B16-9B4A-42E76A654003}">
  <dimension ref="A1:D13"/>
  <sheetViews>
    <sheetView workbookViewId="0">
      <selection activeCell="D5" sqref="D5"/>
    </sheetView>
  </sheetViews>
  <sheetFormatPr defaultColWidth="8.85546875" defaultRowHeight="15" x14ac:dyDescent="0.25"/>
  <cols>
    <col min="1" max="1" width="9.7109375" bestFit="1" customWidth="1"/>
    <col min="2" max="2" width="14.28515625" bestFit="1" customWidth="1"/>
    <col min="3" max="3" width="11.140625" bestFit="1" customWidth="1"/>
  </cols>
  <sheetData>
    <row r="1" spans="1:4" x14ac:dyDescent="0.25">
      <c r="A1" t="s">
        <v>58</v>
      </c>
      <c r="B1" s="2" t="s">
        <v>29</v>
      </c>
      <c r="C1" s="2" t="s">
        <v>28</v>
      </c>
      <c r="D1" s="2" t="s">
        <v>87</v>
      </c>
    </row>
    <row r="2" spans="1:4" x14ac:dyDescent="0.25">
      <c r="A2" t="s">
        <v>63</v>
      </c>
      <c r="B2">
        <v>4</v>
      </c>
      <c r="C2">
        <v>0</v>
      </c>
      <c r="D2" t="s">
        <v>99</v>
      </c>
    </row>
    <row r="3" spans="1:4" x14ac:dyDescent="0.25">
      <c r="A3" t="s">
        <v>64</v>
      </c>
      <c r="B3">
        <v>6</v>
      </c>
      <c r="C3">
        <v>1</v>
      </c>
      <c r="D3" t="s">
        <v>99</v>
      </c>
    </row>
    <row r="4" spans="1:4" x14ac:dyDescent="0.25">
      <c r="A4" t="s">
        <v>65</v>
      </c>
      <c r="B4">
        <v>8</v>
      </c>
      <c r="C4">
        <v>2</v>
      </c>
      <c r="D4" t="s">
        <v>99</v>
      </c>
    </row>
    <row r="5" spans="1:4" x14ac:dyDescent="0.25">
      <c r="A5" t="s">
        <v>63</v>
      </c>
      <c r="B5">
        <v>4</v>
      </c>
      <c r="C5">
        <v>0</v>
      </c>
      <c r="D5" t="s">
        <v>0</v>
      </c>
    </row>
    <row r="6" spans="1:4" x14ac:dyDescent="0.25">
      <c r="A6" t="s">
        <v>64</v>
      </c>
      <c r="B6">
        <v>6</v>
      </c>
      <c r="C6">
        <v>0</v>
      </c>
      <c r="D6" t="s">
        <v>0</v>
      </c>
    </row>
    <row r="7" spans="1:4" x14ac:dyDescent="0.25">
      <c r="A7" t="s">
        <v>65</v>
      </c>
      <c r="B7">
        <v>8</v>
      </c>
      <c r="C7">
        <v>1</v>
      </c>
      <c r="D7" t="s">
        <v>0</v>
      </c>
    </row>
    <row r="8" spans="1:4" x14ac:dyDescent="0.25">
      <c r="A8" t="s">
        <v>63</v>
      </c>
      <c r="B8">
        <v>4</v>
      </c>
      <c r="C8">
        <v>0</v>
      </c>
      <c r="D8" t="s">
        <v>1</v>
      </c>
    </row>
    <row r="9" spans="1:4" x14ac:dyDescent="0.25">
      <c r="A9" t="s">
        <v>64</v>
      </c>
      <c r="B9">
        <v>6</v>
      </c>
      <c r="C9">
        <v>0</v>
      </c>
      <c r="D9" t="s">
        <v>1</v>
      </c>
    </row>
    <row r="10" spans="1:4" x14ac:dyDescent="0.25">
      <c r="A10" t="s">
        <v>65</v>
      </c>
      <c r="B10">
        <v>8</v>
      </c>
      <c r="C10">
        <v>0</v>
      </c>
      <c r="D10" t="s">
        <v>1</v>
      </c>
    </row>
    <row r="11" spans="1:4" x14ac:dyDescent="0.25">
      <c r="A11" t="s">
        <v>63</v>
      </c>
      <c r="B11">
        <v>3</v>
      </c>
      <c r="C11">
        <v>0</v>
      </c>
      <c r="D11" t="s">
        <v>2</v>
      </c>
    </row>
    <row r="12" spans="1:4" x14ac:dyDescent="0.25">
      <c r="A12" t="s">
        <v>64</v>
      </c>
      <c r="B12">
        <v>4</v>
      </c>
      <c r="C12">
        <v>0</v>
      </c>
      <c r="D12" t="s">
        <v>2</v>
      </c>
    </row>
    <row r="13" spans="1:4" x14ac:dyDescent="0.25">
      <c r="A13" t="s">
        <v>65</v>
      </c>
      <c r="B13">
        <v>6</v>
      </c>
      <c r="C13">
        <v>0</v>
      </c>
      <c r="D13" t="s">
        <v>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30E7D-A089-41EE-9151-6A93829FB0CB}">
  <dimension ref="A1:D13"/>
  <sheetViews>
    <sheetView workbookViewId="0">
      <selection activeCell="D5" sqref="D5"/>
    </sheetView>
  </sheetViews>
  <sheetFormatPr defaultColWidth="8.85546875" defaultRowHeight="15" x14ac:dyDescent="0.25"/>
  <cols>
    <col min="1" max="1" width="9.7109375" bestFit="1" customWidth="1"/>
    <col min="2" max="2" width="28.85546875" bestFit="1" customWidth="1"/>
    <col min="3" max="3" width="29.42578125" bestFit="1" customWidth="1"/>
  </cols>
  <sheetData>
    <row r="1" spans="1:4" x14ac:dyDescent="0.25">
      <c r="A1" t="s">
        <v>58</v>
      </c>
      <c r="B1" t="s">
        <v>40</v>
      </c>
      <c r="C1" t="s">
        <v>39</v>
      </c>
      <c r="D1" s="2" t="s">
        <v>87</v>
      </c>
    </row>
    <row r="2" spans="1:4" x14ac:dyDescent="0.25">
      <c r="A2" t="s">
        <v>63</v>
      </c>
      <c r="B2">
        <v>0</v>
      </c>
      <c r="C2">
        <v>0</v>
      </c>
      <c r="D2" t="s">
        <v>99</v>
      </c>
    </row>
    <row r="3" spans="1:4" x14ac:dyDescent="0.25">
      <c r="A3" t="s">
        <v>64</v>
      </c>
      <c r="B3">
        <v>8</v>
      </c>
      <c r="C3">
        <v>0</v>
      </c>
      <c r="D3" t="s">
        <v>99</v>
      </c>
    </row>
    <row r="4" spans="1:4" x14ac:dyDescent="0.25">
      <c r="A4" t="s">
        <v>65</v>
      </c>
      <c r="B4">
        <v>0</v>
      </c>
      <c r="C4">
        <v>8</v>
      </c>
      <c r="D4" t="s">
        <v>99</v>
      </c>
    </row>
    <row r="5" spans="1:4" x14ac:dyDescent="0.25">
      <c r="A5" t="s">
        <v>63</v>
      </c>
      <c r="B5">
        <v>0</v>
      </c>
      <c r="C5">
        <v>0</v>
      </c>
      <c r="D5" t="s">
        <v>0</v>
      </c>
    </row>
    <row r="6" spans="1:4" x14ac:dyDescent="0.25">
      <c r="A6" t="s">
        <v>64</v>
      </c>
      <c r="B6">
        <v>0</v>
      </c>
      <c r="C6">
        <v>0</v>
      </c>
      <c r="D6" t="s">
        <v>0</v>
      </c>
    </row>
    <row r="7" spans="1:4" x14ac:dyDescent="0.25">
      <c r="A7" t="s">
        <v>65</v>
      </c>
      <c r="B7">
        <v>0</v>
      </c>
      <c r="C7">
        <v>0</v>
      </c>
      <c r="D7" t="s">
        <v>0</v>
      </c>
    </row>
    <row r="8" spans="1:4" x14ac:dyDescent="0.25">
      <c r="A8" t="s">
        <v>63</v>
      </c>
      <c r="B8">
        <v>0</v>
      </c>
      <c r="C8">
        <v>0</v>
      </c>
      <c r="D8" t="s">
        <v>1</v>
      </c>
    </row>
    <row r="9" spans="1:4" x14ac:dyDescent="0.25">
      <c r="A9" t="s">
        <v>64</v>
      </c>
      <c r="B9">
        <v>0</v>
      </c>
      <c r="C9">
        <v>0</v>
      </c>
      <c r="D9" t="s">
        <v>1</v>
      </c>
    </row>
    <row r="10" spans="1:4" x14ac:dyDescent="0.25">
      <c r="A10" t="s">
        <v>65</v>
      </c>
      <c r="B10">
        <v>0</v>
      </c>
      <c r="C10">
        <v>0</v>
      </c>
      <c r="D10" t="s">
        <v>1</v>
      </c>
    </row>
    <row r="11" spans="1:4" x14ac:dyDescent="0.25">
      <c r="A11" t="s">
        <v>63</v>
      </c>
      <c r="B11">
        <v>0</v>
      </c>
      <c r="C11">
        <v>0</v>
      </c>
      <c r="D11" t="s">
        <v>2</v>
      </c>
    </row>
    <row r="12" spans="1:4" x14ac:dyDescent="0.25">
      <c r="A12" t="s">
        <v>64</v>
      </c>
      <c r="B12">
        <v>0</v>
      </c>
      <c r="C12">
        <v>0</v>
      </c>
      <c r="D12" t="s">
        <v>2</v>
      </c>
    </row>
    <row r="13" spans="1:4" x14ac:dyDescent="0.25">
      <c r="A13" t="s">
        <v>65</v>
      </c>
      <c r="B13">
        <v>0</v>
      </c>
      <c r="C13">
        <v>0</v>
      </c>
      <c r="D13" t="s">
        <v>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A6688-9FCA-4A83-B91B-436A996FA698}">
  <dimension ref="A1:D13"/>
  <sheetViews>
    <sheetView workbookViewId="0">
      <selection activeCell="D5" sqref="D5"/>
    </sheetView>
  </sheetViews>
  <sheetFormatPr defaultColWidth="8.85546875" defaultRowHeight="15" x14ac:dyDescent="0.25"/>
  <cols>
    <col min="1" max="1" width="9.7109375" bestFit="1" customWidth="1"/>
    <col min="2" max="2" width="15.28515625" bestFit="1" customWidth="1"/>
    <col min="3" max="3" width="15.42578125" bestFit="1" customWidth="1"/>
  </cols>
  <sheetData>
    <row r="1" spans="1:4" x14ac:dyDescent="0.25">
      <c r="A1" t="s">
        <v>58</v>
      </c>
      <c r="B1" s="2" t="s">
        <v>6</v>
      </c>
      <c r="C1" s="2" t="s">
        <v>7</v>
      </c>
      <c r="D1" s="2" t="s">
        <v>87</v>
      </c>
    </row>
    <row r="2" spans="1:4" x14ac:dyDescent="0.25">
      <c r="A2" t="s">
        <v>63</v>
      </c>
      <c r="B2">
        <v>4</v>
      </c>
      <c r="C2">
        <v>0</v>
      </c>
      <c r="D2" t="s">
        <v>99</v>
      </c>
    </row>
    <row r="3" spans="1:4" x14ac:dyDescent="0.25">
      <c r="A3" t="s">
        <v>64</v>
      </c>
      <c r="B3">
        <v>6</v>
      </c>
      <c r="C3">
        <v>1</v>
      </c>
      <c r="D3" t="s">
        <v>99</v>
      </c>
    </row>
    <row r="4" spans="1:4" x14ac:dyDescent="0.25">
      <c r="A4" t="s">
        <v>65</v>
      </c>
      <c r="B4">
        <v>8</v>
      </c>
      <c r="C4">
        <v>2</v>
      </c>
      <c r="D4" t="s">
        <v>99</v>
      </c>
    </row>
    <row r="5" spans="1:4" x14ac:dyDescent="0.25">
      <c r="A5" t="s">
        <v>63</v>
      </c>
      <c r="B5">
        <v>4</v>
      </c>
      <c r="C5">
        <v>0</v>
      </c>
      <c r="D5" t="s">
        <v>0</v>
      </c>
    </row>
    <row r="6" spans="1:4" x14ac:dyDescent="0.25">
      <c r="A6" t="s">
        <v>64</v>
      </c>
      <c r="B6">
        <v>6</v>
      </c>
      <c r="C6">
        <v>0</v>
      </c>
      <c r="D6" t="s">
        <v>0</v>
      </c>
    </row>
    <row r="7" spans="1:4" x14ac:dyDescent="0.25">
      <c r="A7" t="s">
        <v>65</v>
      </c>
      <c r="B7">
        <v>8</v>
      </c>
      <c r="C7">
        <v>1</v>
      </c>
      <c r="D7" t="s">
        <v>0</v>
      </c>
    </row>
    <row r="8" spans="1:4" x14ac:dyDescent="0.25">
      <c r="A8" t="s">
        <v>63</v>
      </c>
      <c r="B8">
        <v>4</v>
      </c>
      <c r="C8">
        <v>0</v>
      </c>
      <c r="D8" t="s">
        <v>1</v>
      </c>
    </row>
    <row r="9" spans="1:4" x14ac:dyDescent="0.25">
      <c r="A9" t="s">
        <v>64</v>
      </c>
      <c r="B9">
        <v>6</v>
      </c>
      <c r="C9">
        <v>0</v>
      </c>
      <c r="D9" t="s">
        <v>1</v>
      </c>
    </row>
    <row r="10" spans="1:4" x14ac:dyDescent="0.25">
      <c r="A10" t="s">
        <v>65</v>
      </c>
      <c r="B10">
        <v>8</v>
      </c>
      <c r="C10">
        <v>0</v>
      </c>
      <c r="D10" t="s">
        <v>1</v>
      </c>
    </row>
    <row r="11" spans="1:4" x14ac:dyDescent="0.25">
      <c r="A11" t="s">
        <v>63</v>
      </c>
      <c r="B11">
        <v>3</v>
      </c>
      <c r="C11">
        <v>0</v>
      </c>
      <c r="D11" t="s">
        <v>2</v>
      </c>
    </row>
    <row r="12" spans="1:4" x14ac:dyDescent="0.25">
      <c r="A12" t="s">
        <v>64</v>
      </c>
      <c r="B12">
        <v>4</v>
      </c>
      <c r="C12">
        <v>0</v>
      </c>
      <c r="D12" t="s">
        <v>2</v>
      </c>
    </row>
    <row r="13" spans="1:4" x14ac:dyDescent="0.25">
      <c r="A13" t="s">
        <v>65</v>
      </c>
      <c r="B13">
        <v>6</v>
      </c>
      <c r="C13">
        <v>0</v>
      </c>
      <c r="D1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StaticElectricLoads</vt:lpstr>
      <vt:lpstr>Schedules</vt:lpstr>
      <vt:lpstr>Lighting</vt:lpstr>
      <vt:lpstr>Fan</vt:lpstr>
      <vt:lpstr>FanCurves</vt:lpstr>
      <vt:lpstr>FanTemperatures</vt:lpstr>
      <vt:lpstr>Refrigerator</vt:lpstr>
      <vt:lpstr>AC</vt:lpstr>
      <vt:lpstr>ACcoef</vt:lpstr>
      <vt:lpstr>ACThermostat</vt:lpstr>
      <vt:lpstr>Buildings</vt:lpstr>
      <vt:lpstr>BuildingsTiers</vt:lpstr>
      <vt:lpstr>RepeatBuildingConfigs</vt:lpstr>
      <vt:lpstr>BuildingFans</vt:lpstr>
      <vt:lpstr>BuildingRefrigerators</vt:lpstr>
      <vt:lpstr>BuildingWallAC</vt:lpstr>
      <vt:lpstr>BuildingLighting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Villa, Daniel L</dc:creator>
  <cp:lastModifiedBy>Villa, Daniel L.</cp:lastModifiedBy>
  <dcterms:created xsi:type="dcterms:W3CDTF">2020-10-28T15:52:31Z</dcterms:created>
  <dcterms:modified xsi:type="dcterms:W3CDTF">2025-02-24T21:50:33Z</dcterms:modified>
</cp:coreProperties>
</file>